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h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&quot;$&quot;#,##0.00"/>
    <numFmt numFmtId="166" formatCode="&quot;$&quot;#,##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color rgb="00666666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4B9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0" borderId="1" pivotButton="0" quotePrefix="0" xfId="0"/>
    <xf numFmtId="166" fontId="3" fillId="0" borderId="0" pivotButton="0" quotePrefix="0" xfId="0"/>
    <xf numFmtId="166" fontId="3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3" customWidth="1" min="3" max="3"/>
    <col width="13" customWidth="1" min="4" max="4"/>
    <col width="78" customWidth="1" min="5" max="5"/>
  </cols>
  <sheetData>
    <row r="1">
      <c r="A1" s="1" t="inlineStr">
        <is>
          <t>BioLinked — Margin Model · Overhead per Vial</t>
        </is>
      </c>
    </row>
    <row r="2">
      <c r="A2" s="2" t="inlineStr">
        <is>
          <t>Rebuilt 2026-09-10. Outbound shipping corrected to $7.10 flat per package (measured); was an $8.00 estimate.</t>
        </is>
      </c>
    </row>
    <row r="4">
      <c r="A4" s="3" t="inlineStr">
        <is>
          <t>ASSUMPTIONS</t>
        </is>
      </c>
    </row>
    <row r="5">
      <c r="A5" t="inlineStr">
        <is>
          <t>Paid vials per shipment (from pl_sales)</t>
        </is>
      </c>
      <c r="B5" s="4" t="n">
        <v>6.765766</v>
      </c>
      <c r="C5" s="5" t="inlineStr">
        <is>
          <t>Outbound shipping, packaging and free BAC divide by this</t>
        </is>
      </c>
    </row>
    <row r="6">
      <c r="A6" t="inlineStr">
        <is>
          <t>Vials per month (trailing 3 mo)</t>
        </is>
      </c>
      <c r="B6" t="n">
        <v>165</v>
      </c>
      <c r="C6" s="5" t="inlineStr">
        <is>
          <t>pl_sales paid units Jun 190 + Jul 96 + Aug 210 = 496 / 3</t>
        </is>
      </c>
    </row>
    <row r="7">
      <c r="A7" t="inlineStr">
        <is>
          <t>Fixed monthly costs</t>
        </is>
      </c>
      <c r="B7" s="6" t="n">
        <v>187</v>
      </c>
      <c r="C7" s="5" t="inlineStr">
        <is>
          <t>Lump figure — components were never itemised</t>
        </is>
      </c>
    </row>
    <row r="9">
      <c r="A9" s="3" t="inlineStr">
        <is>
          <t>OVERHEAD COMPONENTS</t>
        </is>
      </c>
    </row>
    <row r="10">
      <c r="A10" s="7" t="inlineStr">
        <is>
          <t>Component</t>
        </is>
      </c>
      <c r="B10" s="7" t="inlineStr">
        <is>
          <t>Cost</t>
        </is>
      </c>
      <c r="C10" s="7" t="inlineStr">
        <is>
          <t>Divide by</t>
        </is>
      </c>
      <c r="D10" s="7" t="inlineStr">
        <is>
          <t>Per vial</t>
        </is>
      </c>
      <c r="E10" s="7" t="inlineStr">
        <is>
          <t>Source / note</t>
        </is>
      </c>
    </row>
    <row r="11">
      <c r="A11" s="8" t="inlineStr">
        <is>
          <t>Outbound shipping to client (per package)</t>
        </is>
      </c>
      <c r="B11" s="9" t="n">
        <v>7.1</v>
      </c>
      <c r="C11" s="8">
        <f>$B$5</f>
        <v/>
      </c>
      <c r="D11" s="10">
        <f>B11/C11</f>
        <v/>
      </c>
      <c r="E11" s="11" t="inlineStr">
        <is>
          <t>MEASURED — $7.10 flat per package regardless of size (corrected from $8.00 estimate)</t>
        </is>
      </c>
    </row>
    <row r="12">
      <c r="A12" s="8" t="inlineStr">
        <is>
          <t>Packaging: box, gel pack, mailer</t>
        </is>
      </c>
      <c r="B12" s="9" t="n">
        <v>3.5</v>
      </c>
      <c r="C12" s="8">
        <f>$B$5</f>
        <v/>
      </c>
      <c r="D12" s="10">
        <f>B12/C12</f>
        <v/>
      </c>
      <c r="E12" s="11" t="inlineStr">
        <is>
          <t>Per shipment</t>
        </is>
      </c>
    </row>
    <row r="13">
      <c r="A13" s="8" t="inlineStr">
        <is>
          <t>Vial labels (per vial)</t>
        </is>
      </c>
      <c r="B13" s="9" t="n">
        <v>0.8</v>
      </c>
      <c r="C13" s="8" t="n">
        <v>1</v>
      </c>
      <c r="D13" s="10">
        <f>B13/C13</f>
        <v/>
      </c>
      <c r="E13" s="11" t="inlineStr">
        <is>
          <t>Direct per-vial cost</t>
        </is>
      </c>
    </row>
    <row r="14">
      <c r="A14" s="8" t="inlineStr">
        <is>
          <t>BAC water given free (2 x 10 mL per order)</t>
        </is>
      </c>
      <c r="B14" s="9" t="n">
        <v>2.5</v>
      </c>
      <c r="C14" s="8">
        <f>$B$5</f>
        <v/>
      </c>
      <c r="D14" s="10">
        <f>B14/C14</f>
        <v/>
      </c>
      <c r="E14" s="11" t="inlineStr">
        <is>
          <t>Given free with each order</t>
        </is>
      </c>
    </row>
    <row r="15">
      <c r="A15" s="8" t="inlineStr">
        <is>
          <t>Third-party testing</t>
        </is>
      </c>
      <c r="B15" s="9" t="n">
        <v>100</v>
      </c>
      <c r="C15" s="8" t="n">
        <v>99</v>
      </c>
      <c r="D15" s="10">
        <f>B15/C15</f>
        <v/>
      </c>
      <c r="E15" s="11" t="inlineStr">
        <is>
          <t>$100 per 99 vials tested</t>
        </is>
      </c>
    </row>
    <row r="16">
      <c r="A16" s="8" t="inlineStr">
        <is>
          <t>Inbound peptide shipping (per order)</t>
        </is>
      </c>
      <c r="B16" s="9" t="n">
        <v>80</v>
      </c>
      <c r="C16" s="8" t="n">
        <v>100</v>
      </c>
      <c r="D16" s="10">
        <f>B16/C16</f>
        <v/>
      </c>
      <c r="E16" s="11" t="inlineStr">
        <is>
          <t>$80 per 100-vial inbound order</t>
        </is>
      </c>
    </row>
    <row r="17">
      <c r="A17" s="8" t="inlineStr">
        <is>
          <t>Fixed monthly costs</t>
        </is>
      </c>
      <c r="B17" s="9">
        <f>$B$7</f>
        <v/>
      </c>
      <c r="C17" s="8">
        <f>$B$6</f>
        <v/>
      </c>
      <c r="D17" s="10">
        <f>B17/C17</f>
        <v/>
      </c>
      <c r="E17" s="11" t="inlineStr">
        <is>
          <t>Monthly lump spread over trailing-3-mo vial volume</t>
        </is>
      </c>
    </row>
    <row r="18">
      <c r="A18" s="3" t="inlineStr">
        <is>
          <t>COMPUTED OVERHEAD PER VIAL</t>
        </is>
      </c>
      <c r="D18" s="12">
        <f>SUM(D11:D17)</f>
        <v/>
      </c>
    </row>
    <row r="19">
      <c r="A19" s="3" t="inlineStr">
        <is>
          <t>Safety buffer / rounding</t>
        </is>
      </c>
      <c r="D19" s="12">
        <f>D20-D18</f>
        <v/>
      </c>
    </row>
    <row r="20">
      <c r="A20" s="3" t="inlineStr">
        <is>
          <t>APPLIED OVERHEAD PER VIAL  (CFG.OVERHEAD_PER_VIAL)</t>
        </is>
      </c>
      <c r="D20" s="13" t="n">
        <v>7</v>
      </c>
      <c r="E20" s="5" t="inlineStr">
        <is>
          <t>Edit this one cell to re-rate; profit-loss.html holds the same constant</t>
        </is>
      </c>
    </row>
    <row r="22">
      <c r="A22" s="3" t="inlineStr">
        <is>
          <t>Change vs previous model</t>
        </is>
      </c>
    </row>
    <row r="23">
      <c r="A23" t="inlineStr">
        <is>
          <t>Outbound shipping per vial: was $1.1824 -&gt; now</t>
        </is>
      </c>
      <c r="D23" s="14">
        <f>D11</f>
        <v/>
      </c>
    </row>
    <row r="24">
      <c r="A24" t="inlineStr">
        <is>
          <t>Computed overhead per vial: was $5.8127 -&gt; now</t>
        </is>
      </c>
      <c r="D24" s="14">
        <f>D18</f>
        <v/>
      </c>
    </row>
    <row r="25">
      <c r="A25" t="inlineStr">
        <is>
          <t>Buffer at $7.00 applied: was $1.1873 -&gt; now</t>
        </is>
      </c>
      <c r="D25" s="14">
        <f>D20-D18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2026-09-10T19:17:49Z</dcterms:created>
  <dcterms:modified xsi:type="dcterms:W3CDTF">2026-09-10T19:17:49Z</dcterms:modified>
</cp:coreProperties>
</file>